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b05eb62caaf167c/Documents/"/>
    </mc:Choice>
  </mc:AlternateContent>
  <xr:revisionPtr revIDLastSave="373" documentId="8_{E7AF8C15-64D3-4F33-84D9-7927CA658BA6}" xr6:coauthVersionLast="47" xr6:coauthVersionMax="47" xr10:uidLastSave="{8B7D9D72-11B3-4856-BF8E-DD0747E7E107}"/>
  <bookViews>
    <workbookView xWindow="-108" yWindow="-108" windowWidth="23256" windowHeight="12456" activeTab="2" xr2:uid="{3FCCABB5-28AF-4571-AA11-A83FDF695285}"/>
  </bookViews>
  <sheets>
    <sheet name="Raw_Data" sheetId="1" r:id="rId1"/>
    <sheet name="ANALYSIS" sheetId="3" r:id="rId2"/>
    <sheet name="DASHBOARD" sheetId="5" r:id="rId3"/>
  </sheets>
  <calcPr calcId="191029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" i="1"/>
</calcChain>
</file>

<file path=xl/sharedStrings.xml><?xml version="1.0" encoding="utf-8"?>
<sst xmlns="http://schemas.openxmlformats.org/spreadsheetml/2006/main" count="116" uniqueCount="35">
  <si>
    <t>Order ID</t>
  </si>
  <si>
    <t>Date</t>
  </si>
  <si>
    <t>Product</t>
  </si>
  <si>
    <t>Category</t>
  </si>
  <si>
    <t>Region</t>
  </si>
  <si>
    <t>Salesperson</t>
  </si>
  <si>
    <t>Units Sold</t>
  </si>
  <si>
    <t>Units Price</t>
  </si>
  <si>
    <t>Total Sales</t>
  </si>
  <si>
    <t>LAPTOP</t>
  </si>
  <si>
    <t>CHAIR</t>
  </si>
  <si>
    <t xml:space="preserve">PHONE </t>
  </si>
  <si>
    <t>DESK</t>
  </si>
  <si>
    <t>TABLET</t>
  </si>
  <si>
    <t>LAMP</t>
  </si>
  <si>
    <t>MONITOR</t>
  </si>
  <si>
    <t>ELECTRONICS</t>
  </si>
  <si>
    <t>FURNITURE</t>
  </si>
  <si>
    <t>NORTH</t>
  </si>
  <si>
    <t>SOUTH</t>
  </si>
  <si>
    <t>EAST</t>
  </si>
  <si>
    <t>WEST</t>
  </si>
  <si>
    <t>RAHUL</t>
  </si>
  <si>
    <t>PRIYA</t>
  </si>
  <si>
    <t>AMIT</t>
  </si>
  <si>
    <t>SNEHA</t>
  </si>
  <si>
    <t>Row Labels</t>
  </si>
  <si>
    <t>Grand Total</t>
  </si>
  <si>
    <t>Sum of Total Sales</t>
  </si>
  <si>
    <t xml:space="preserve">SALES PERFORMANCE DASHBOARD </t>
  </si>
  <si>
    <t>TOTAL REVENUE</t>
  </si>
  <si>
    <t>TOP CATEGORY</t>
  </si>
  <si>
    <t xml:space="preserve">ELECTRONICS </t>
  </si>
  <si>
    <t>TOP REGION</t>
  </si>
  <si>
    <t>TOP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</si>
</sst>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3" fontId="3" fillId="0" borderId="0" xfId="0" applyNumberFormat="1" applyFont="1"/>
  </cellXfs>
  <cellStyles count="1">
    <cellStyle name="Normal" xfId="0" builtinId="0"/>
  </cellStyles>
  <dxfs count="1"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ANALYSIS!$B$1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62E-4115-B781-BDC55D53B0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62E-4115-B781-BDC55D53B006}"/>
              </c:ext>
            </c:extLst>
          </c:dPt>
          <c:cat>
            <c:strRef>
              <c:f>ANALYSIS!$A$2:$A$4</c:f>
              <c:strCache>
                <c:ptCount val="2"/>
                <c:pt idx="0">
                  <c:v>ELECTRONICS</c:v>
                </c:pt>
                <c:pt idx="1">
                  <c:v>FURNITURE</c:v>
                </c:pt>
              </c:strCache>
            </c:strRef>
          </c:cat>
          <c:val>
            <c:numRef>
              <c:f>ANALYSIS!$B$2:$B$4</c:f>
              <c:numCache>
                <c:formatCode>General</c:formatCode>
                <c:ptCount val="2"/>
                <c:pt idx="0">
                  <c:v>2311000</c:v>
                </c:pt>
                <c:pt idx="1">
                  <c:v>440000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2E-4115-B781-BDC55D53B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DA7-4BC9-B942-F95663B318C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DA7-4BC9-B942-F95663B318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DA7-4BC9-B942-F95663B318C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DA7-4BC9-B942-F95663B318C8}"/>
              </c:ext>
            </c:extLst>
          </c:dPt>
          <c:cat>
            <c:strRef>
              <c:f>ANALYSIS!$F$2:$F$6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ANALYSIS!$G$2:$G$6</c:f>
              <c:numCache>
                <c:formatCode>General</c:formatCode>
                <c:ptCount val="4"/>
                <c:pt idx="0">
                  <c:v>631500</c:v>
                </c:pt>
                <c:pt idx="1">
                  <c:v>707500</c:v>
                </c:pt>
                <c:pt idx="2">
                  <c:v>912000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DA7-4BC9-B942-F95663B31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09807711"/>
        <c:axId val="1109819711"/>
      </c:barChart>
      <c:catAx>
        <c:axId val="110980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19711"/>
        <c:auto val="1"/>
        <c:lblAlgn val="ctr"/>
        <c:lblOffset val="100"/>
        <c:noMultiLvlLbl val="0"/>
      </c:catAx>
      <c:valAx>
        <c:axId val="110981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0771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[Sales_Dashboard_Project.xlsx]ANALYSIS!PivotTable4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Salesperson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ANALYSIS!$L$1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2B6-4FB7-AABE-6431290254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2B6-4FB7-AABE-6431290254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2B6-4FB7-AABE-64312902547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2B6-4FB7-AABE-64312902547C}"/>
              </c:ext>
            </c:extLst>
          </c:dPt>
          <c:cat>
            <c:strRef>
              <c:f>ANALYSIS!$K$2:$K$6</c:f>
              <c:strCache>
                <c:ptCount val="4"/>
                <c:pt idx="0">
                  <c:v>AMIT</c:v>
                </c:pt>
                <c:pt idx="1">
                  <c:v>PRIYA</c:v>
                </c:pt>
                <c:pt idx="2">
                  <c:v>RAHUL</c:v>
                </c:pt>
                <c:pt idx="3">
                  <c:v>SNEHA</c:v>
                </c:pt>
              </c:strCache>
            </c:strRef>
          </c:cat>
          <c:val>
            <c:numRef>
              <c:f>ANALYSIS!$L$2:$L$6</c:f>
              <c:numCache>
                <c:formatCode>General</c:formatCode>
                <c:ptCount val="4"/>
                <c:pt idx="0">
                  <c:v>631500</c:v>
                </c:pt>
                <c:pt idx="1">
                  <c:v>912000</c:v>
                </c:pt>
                <c:pt idx="2">
                  <c:v>707500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B6-4FB7-AABE-6431290254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109825951"/>
        <c:axId val="1109827871"/>
      </c:barChart>
      <c:catAx>
        <c:axId val="110982595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27871"/>
        <c:auto val="1"/>
        <c:lblAlgn val="ctr"/>
        <c:lblOffset val="100"/>
        <c:noMultiLvlLbl val="0"/>
      </c:catAx>
      <c:valAx>
        <c:axId val="1109827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982595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4</xdr:row>
      <xdr:rowOff>114300</xdr:rowOff>
    </xdr:from>
    <xdr:to>
      <xdr:col>3</xdr:col>
      <xdr:colOff>1272540</xdr:colOff>
      <xdr:row>20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68ED17-D24A-4286-930B-24C4A83BB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30480</xdr:colOff>
      <xdr:row>5</xdr:row>
      <xdr:rowOff>22860</xdr:rowOff>
    </xdr:from>
    <xdr:to>
      <xdr:col>10</xdr:col>
      <xdr:colOff>594360</xdr:colOff>
      <xdr:row>20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1553EF9-616C-4DFF-93DA-CC60B68BD9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175260</xdr:colOff>
      <xdr:row>5</xdr:row>
      <xdr:rowOff>30480</xdr:rowOff>
    </xdr:from>
    <xdr:to>
      <xdr:col>17</xdr:col>
      <xdr:colOff>594360</xdr:colOff>
      <xdr:row>19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F87BD3E-1ED3-46DC-A126-21A4F89ED1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itya Raj Singh" refreshedDate="46150.484600115742" createdVersion="8" refreshedVersion="8" minRefreshableVersion="3" recordCount="20" xr:uid="{B475F228-FA87-4CF7-A308-EB4EC56D2CB9}">
  <cacheSource type="worksheet">
    <worksheetSource name="SALESDATA"/>
  </cacheSource>
  <cacheFields count="9">
    <cacheField name="Order ID" numFmtId="0">
      <sharedItems containsSemiMixedTypes="0" containsString="0" containsNumber="1" containsInteger="1" minValue="1001" maxValue="1020"/>
    </cacheField>
    <cacheField name="Date" numFmtId="17">
      <sharedItems containsSemiMixedTypes="0" containsNonDate="0" containsDate="1" containsString="0" minDate="2026-01-01T00:00:00" maxDate="2026-04-02T00:00:00"/>
    </cacheField>
    <cacheField name="Product" numFmtId="0">
      <sharedItems/>
    </cacheField>
    <cacheField name="Category" numFmtId="0">
      <sharedItems count="2">
        <s v="ELECTRONICS"/>
        <s v="FURNITURE"/>
      </sharedItems>
    </cacheField>
    <cacheField name="Region" numFmtId="0">
      <sharedItems count="4">
        <s v="NORTH"/>
        <s v="SOUTH"/>
        <s v="EAST"/>
        <s v="WEST"/>
      </sharedItems>
    </cacheField>
    <cacheField name="Salesperson" numFmtId="0">
      <sharedItems count="4">
        <s v="RAHUL"/>
        <s v="PRIYA"/>
        <s v="AMIT"/>
        <s v="SNEHA"/>
      </sharedItems>
    </cacheField>
    <cacheField name="Units Sold" numFmtId="0">
      <sharedItems containsSemiMixedTypes="0" containsString="0" containsNumber="1" containsInteger="1" minValue="3" maxValue="20"/>
    </cacheField>
    <cacheField name="Units Price" numFmtId="0">
      <sharedItems containsSemiMixedTypes="0" containsString="0" containsNumber="1" containsInteger="1" minValue="2500" maxValue="45000"/>
    </cacheField>
    <cacheField name="Total Sales" numFmtId="0">
      <sharedItems containsSemiMixedTypes="0" containsString="0" containsNumber="1" containsInteger="1" minValue="36000" maxValue="32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d v="2026-01-01T00:00:00"/>
    <s v="LAPTOP"/>
    <x v="0"/>
    <x v="0"/>
    <x v="0"/>
    <n v="5"/>
    <n v="45000"/>
    <n v="225000"/>
  </r>
  <r>
    <n v="1002"/>
    <d v="2026-01-01T00:00:00"/>
    <s v="CHAIR"/>
    <x v="1"/>
    <x v="1"/>
    <x v="1"/>
    <n v="10"/>
    <n v="8500"/>
    <n v="85000"/>
  </r>
  <r>
    <n v="1003"/>
    <d v="2026-01-01T00:00:00"/>
    <s v="PHONE "/>
    <x v="0"/>
    <x v="2"/>
    <x v="2"/>
    <n v="8"/>
    <n v="32000"/>
    <n v="256000"/>
  </r>
  <r>
    <n v="1004"/>
    <d v="2026-01-01T00:00:00"/>
    <s v="DESK"/>
    <x v="1"/>
    <x v="3"/>
    <x v="3"/>
    <n v="4"/>
    <n v="12000"/>
    <n v="48000"/>
  </r>
  <r>
    <n v="1005"/>
    <d v="2026-01-01T00:00:00"/>
    <s v="TABLET"/>
    <x v="0"/>
    <x v="0"/>
    <x v="0"/>
    <n v="6"/>
    <n v="18000"/>
    <n v="108000"/>
  </r>
  <r>
    <n v="1006"/>
    <d v="2026-02-01T00:00:00"/>
    <s v="LAPTOP"/>
    <x v="0"/>
    <x v="1"/>
    <x v="1"/>
    <n v="3"/>
    <n v="45000"/>
    <n v="135000"/>
  </r>
  <r>
    <n v="1007"/>
    <d v="2026-02-01T00:00:00"/>
    <s v="LAMP"/>
    <x v="1"/>
    <x v="2"/>
    <x v="2"/>
    <n v="15"/>
    <n v="2500"/>
    <n v="37500"/>
  </r>
  <r>
    <n v="1008"/>
    <d v="2026-02-01T00:00:00"/>
    <s v="PHONE "/>
    <x v="0"/>
    <x v="3"/>
    <x v="3"/>
    <n v="7"/>
    <n v="32000"/>
    <n v="224000"/>
  </r>
  <r>
    <n v="1009"/>
    <d v="2026-02-01T00:00:00"/>
    <s v="MONITOR"/>
    <x v="0"/>
    <x v="0"/>
    <x v="0"/>
    <n v="9"/>
    <n v="15000"/>
    <n v="135000"/>
  </r>
  <r>
    <n v="1010"/>
    <d v="2026-02-01T00:00:00"/>
    <s v="CHAIR"/>
    <x v="1"/>
    <x v="1"/>
    <x v="1"/>
    <n v="12"/>
    <n v="8500"/>
    <n v="102000"/>
  </r>
  <r>
    <n v="1011"/>
    <d v="2026-03-01T00:00:00"/>
    <s v="TABLET"/>
    <x v="0"/>
    <x v="2"/>
    <x v="2"/>
    <n v="5"/>
    <n v="18000"/>
    <n v="90000"/>
  </r>
  <r>
    <n v="1012"/>
    <d v="2026-03-01T00:00:00"/>
    <s v="DESK"/>
    <x v="1"/>
    <x v="3"/>
    <x v="3"/>
    <n v="6"/>
    <n v="12000"/>
    <n v="72000"/>
  </r>
  <r>
    <n v="1013"/>
    <d v="2026-03-01T00:00:00"/>
    <s v="LAPTOP"/>
    <x v="0"/>
    <x v="0"/>
    <x v="0"/>
    <n v="4"/>
    <n v="45000"/>
    <n v="180000"/>
  </r>
  <r>
    <n v="1014"/>
    <d v="2026-03-01T00:00:00"/>
    <s v="PHONE "/>
    <x v="0"/>
    <x v="1"/>
    <x v="1"/>
    <n v="10"/>
    <n v="32000"/>
    <n v="320000"/>
  </r>
  <r>
    <n v="1015"/>
    <d v="2026-03-01T00:00:00"/>
    <s v="LAMP"/>
    <x v="0"/>
    <x v="2"/>
    <x v="2"/>
    <n v="20"/>
    <n v="2500"/>
    <n v="50000"/>
  </r>
  <r>
    <n v="1016"/>
    <d v="2026-04-01T00:00:00"/>
    <s v="MONITOR"/>
    <x v="0"/>
    <x v="3"/>
    <x v="3"/>
    <n v="8"/>
    <n v="15000"/>
    <n v="120000"/>
  </r>
  <r>
    <n v="1017"/>
    <d v="2026-04-01T00:00:00"/>
    <s v="CHAIR"/>
    <x v="1"/>
    <x v="0"/>
    <x v="0"/>
    <n v="7"/>
    <n v="8500"/>
    <n v="59500"/>
  </r>
  <r>
    <n v="1018"/>
    <d v="2026-04-01T00:00:00"/>
    <s v="LAPTOP"/>
    <x v="0"/>
    <x v="1"/>
    <x v="1"/>
    <n v="6"/>
    <n v="45000"/>
    <n v="270000"/>
  </r>
  <r>
    <n v="1019"/>
    <d v="2026-04-01T00:00:00"/>
    <s v="TABLET"/>
    <x v="0"/>
    <x v="2"/>
    <x v="2"/>
    <n v="11"/>
    <n v="18000"/>
    <n v="198000"/>
  </r>
  <r>
    <n v="1020"/>
    <d v="2026-04-01T00:00:00"/>
    <s v="DESK"/>
    <x v="1"/>
    <x v="3"/>
    <x v="3"/>
    <n v="3"/>
    <n v="12000"/>
    <n v="36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565B64-9909-4127-BB10-493782562243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1:L6" firstHeaderRow="1" firstDataRow="1" firstDataCol="1"/>
  <pivotFields count="9">
    <pivotField showAll="0"/>
    <pivotField numFmtId="17"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04B653-ED69-4219-9A23-A49321FE3FF4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F1:G6" firstHeaderRow="1" firstDataRow="1" firstDataCol="1"/>
  <pivotFields count="9">
    <pivotField showAll="0"/>
    <pivotField numFmtId="17" showAll="0"/>
    <pivotField showAll="0"/>
    <pivotField showAll="0"/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Sales" fld="8" baseField="0" baseItem="0"/>
  </dataFields>
  <chartFormats count="5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6E0921-3CA6-466F-AB73-55EFD059A592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4" firstHeaderRow="1" firstDataRow="1" firstDataCol="1"/>
  <pivotFields count="9">
    <pivotField showAll="0"/>
    <pivotField numFmtId="17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Sum of Total Sales" fld="8" baseField="0" baseItem="0"/>
  </dataFields>
  <chartFormats count="3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472A96-FA4B-4191-8811-7629704B6A93}" name="SALESDATA" displayName="SALESDATA" ref="A1:I21" totalsRowShown="0">
  <autoFilter ref="A1:I21" xr:uid="{A8472A96-FA4B-4191-8811-7629704B6A93}"/>
  <tableColumns count="9">
    <tableColumn id="1" xr3:uid="{FE638889-D6FA-47BC-B9D2-28496D625645}" name="Order ID"/>
    <tableColumn id="2" xr3:uid="{411CCF91-F79E-42EF-A4E7-FE8E66234F31}" name="Date" dataDxfId="0"/>
    <tableColumn id="3" xr3:uid="{D4CF904B-DD3D-4AB8-A52D-FC4E7A33894B}" name="Product"/>
    <tableColumn id="4" xr3:uid="{6EA4D58B-54D3-44E9-B9F6-9691352DE4B0}" name="Category"/>
    <tableColumn id="5" xr3:uid="{CB91FFC4-E4C2-4951-9194-5093F81D3D6D}" name="Region"/>
    <tableColumn id="6" xr3:uid="{A4B6C548-9612-4B34-8020-14252FACC3AC}" name="Salesperson"/>
    <tableColumn id="7" xr3:uid="{517FBA81-595C-4EAA-8F34-04C4846A59B3}" name="Units Sold"/>
    <tableColumn id="8" xr3:uid="{9ECFFDA0-FB94-45D1-951E-9545359BCE4E}" name="Units Price"/>
    <tableColumn id="9" xr3:uid="{EE0C2A1E-EA23-4511-84B4-D915F3C35184}" name="Total Sales">
      <calculatedColumnFormula>PRODUCT(G2,H2)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F4CB-1C9E-4BFF-A8F6-D52C6F635D38}">
  <dimension ref="A1:I21"/>
  <sheetViews>
    <sheetView workbookViewId="0">
      <selection activeCell="I21" sqref="A1:I21"/>
    </sheetView>
  </sheetViews>
  <sheetFormatPr defaultRowHeight="14.4" x14ac:dyDescent="0.3"/>
  <cols>
    <col min="1" max="1" width="9.77734375" customWidth="1"/>
    <col min="3" max="3" width="9.44140625" customWidth="1"/>
    <col min="4" max="4" width="12.44140625" bestFit="1" customWidth="1"/>
    <col min="6" max="6" width="13.109375" customWidth="1"/>
    <col min="7" max="7" width="11.33203125" customWidth="1"/>
    <col min="8" max="9" width="11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46023</v>
      </c>
      <c r="C2" t="s">
        <v>9</v>
      </c>
      <c r="D2" t="s">
        <v>16</v>
      </c>
      <c r="E2" t="s">
        <v>18</v>
      </c>
      <c r="F2" t="s">
        <v>22</v>
      </c>
      <c r="G2">
        <v>5</v>
      </c>
      <c r="H2">
        <v>45000</v>
      </c>
      <c r="I2">
        <f>PRODUCT(G2,H2)</f>
        <v>225000</v>
      </c>
    </row>
    <row r="3" spans="1:9" x14ac:dyDescent="0.3">
      <c r="A3">
        <v>1002</v>
      </c>
      <c r="B3" s="1">
        <v>46023</v>
      </c>
      <c r="C3" t="s">
        <v>10</v>
      </c>
      <c r="D3" t="s">
        <v>17</v>
      </c>
      <c r="E3" t="s">
        <v>19</v>
      </c>
      <c r="F3" t="s">
        <v>23</v>
      </c>
      <c r="G3">
        <v>10</v>
      </c>
      <c r="H3">
        <v>8500</v>
      </c>
      <c r="I3">
        <f t="shared" ref="I3:I21" si="0">PRODUCT(G3,H3)</f>
        <v>85000</v>
      </c>
    </row>
    <row r="4" spans="1:9" x14ac:dyDescent="0.3">
      <c r="A4">
        <v>1003</v>
      </c>
      <c r="B4" s="1">
        <v>46023</v>
      </c>
      <c r="C4" t="s">
        <v>11</v>
      </c>
      <c r="D4" t="s">
        <v>16</v>
      </c>
      <c r="E4" t="s">
        <v>20</v>
      </c>
      <c r="F4" t="s">
        <v>24</v>
      </c>
      <c r="G4">
        <v>8</v>
      </c>
      <c r="H4">
        <v>32000</v>
      </c>
      <c r="I4">
        <f t="shared" si="0"/>
        <v>256000</v>
      </c>
    </row>
    <row r="5" spans="1:9" x14ac:dyDescent="0.3">
      <c r="A5">
        <v>1004</v>
      </c>
      <c r="B5" s="1">
        <v>46023</v>
      </c>
      <c r="C5" t="s">
        <v>12</v>
      </c>
      <c r="D5" t="s">
        <v>17</v>
      </c>
      <c r="E5" t="s">
        <v>21</v>
      </c>
      <c r="F5" t="s">
        <v>25</v>
      </c>
      <c r="G5">
        <v>4</v>
      </c>
      <c r="H5">
        <v>12000</v>
      </c>
      <c r="I5">
        <f t="shared" si="0"/>
        <v>48000</v>
      </c>
    </row>
    <row r="6" spans="1:9" x14ac:dyDescent="0.3">
      <c r="A6">
        <v>1005</v>
      </c>
      <c r="B6" s="1">
        <v>46023</v>
      </c>
      <c r="C6" t="s">
        <v>13</v>
      </c>
      <c r="D6" t="s">
        <v>16</v>
      </c>
      <c r="E6" t="s">
        <v>18</v>
      </c>
      <c r="F6" t="s">
        <v>22</v>
      </c>
      <c r="G6">
        <v>6</v>
      </c>
      <c r="H6">
        <v>18000</v>
      </c>
      <c r="I6">
        <f t="shared" si="0"/>
        <v>108000</v>
      </c>
    </row>
    <row r="7" spans="1:9" x14ac:dyDescent="0.3">
      <c r="A7">
        <v>1006</v>
      </c>
      <c r="B7" s="1">
        <v>46054</v>
      </c>
      <c r="C7" t="s">
        <v>9</v>
      </c>
      <c r="D7" t="s">
        <v>16</v>
      </c>
      <c r="E7" t="s">
        <v>19</v>
      </c>
      <c r="F7" t="s">
        <v>23</v>
      </c>
      <c r="G7">
        <v>3</v>
      </c>
      <c r="H7">
        <v>45000</v>
      </c>
      <c r="I7">
        <f t="shared" si="0"/>
        <v>135000</v>
      </c>
    </row>
    <row r="8" spans="1:9" x14ac:dyDescent="0.3">
      <c r="A8">
        <v>1007</v>
      </c>
      <c r="B8" s="1">
        <v>46054</v>
      </c>
      <c r="C8" t="s">
        <v>14</v>
      </c>
      <c r="D8" t="s">
        <v>17</v>
      </c>
      <c r="E8" t="s">
        <v>20</v>
      </c>
      <c r="F8" t="s">
        <v>24</v>
      </c>
      <c r="G8">
        <v>15</v>
      </c>
      <c r="H8">
        <v>2500</v>
      </c>
      <c r="I8">
        <f t="shared" si="0"/>
        <v>37500</v>
      </c>
    </row>
    <row r="9" spans="1:9" x14ac:dyDescent="0.3">
      <c r="A9">
        <v>1008</v>
      </c>
      <c r="B9" s="1">
        <v>46054</v>
      </c>
      <c r="C9" t="s">
        <v>11</v>
      </c>
      <c r="D9" t="s">
        <v>16</v>
      </c>
      <c r="E9" t="s">
        <v>21</v>
      </c>
      <c r="F9" t="s">
        <v>25</v>
      </c>
      <c r="G9">
        <v>7</v>
      </c>
      <c r="H9">
        <v>32000</v>
      </c>
      <c r="I9">
        <f t="shared" si="0"/>
        <v>224000</v>
      </c>
    </row>
    <row r="10" spans="1:9" x14ac:dyDescent="0.3">
      <c r="A10">
        <v>1009</v>
      </c>
      <c r="B10" s="1">
        <v>46054</v>
      </c>
      <c r="C10" t="s">
        <v>15</v>
      </c>
      <c r="D10" t="s">
        <v>16</v>
      </c>
      <c r="E10" t="s">
        <v>18</v>
      </c>
      <c r="F10" t="s">
        <v>22</v>
      </c>
      <c r="G10">
        <v>9</v>
      </c>
      <c r="H10">
        <v>15000</v>
      </c>
      <c r="I10">
        <f t="shared" si="0"/>
        <v>135000</v>
      </c>
    </row>
    <row r="11" spans="1:9" x14ac:dyDescent="0.3">
      <c r="A11">
        <v>1010</v>
      </c>
      <c r="B11" s="1">
        <v>46054</v>
      </c>
      <c r="C11" t="s">
        <v>10</v>
      </c>
      <c r="D11" t="s">
        <v>17</v>
      </c>
      <c r="E11" t="s">
        <v>19</v>
      </c>
      <c r="F11" t="s">
        <v>23</v>
      </c>
      <c r="G11">
        <v>12</v>
      </c>
      <c r="H11">
        <v>8500</v>
      </c>
      <c r="I11">
        <f t="shared" si="0"/>
        <v>102000</v>
      </c>
    </row>
    <row r="12" spans="1:9" x14ac:dyDescent="0.3">
      <c r="A12">
        <v>1011</v>
      </c>
      <c r="B12" s="1">
        <v>46082</v>
      </c>
      <c r="C12" t="s">
        <v>13</v>
      </c>
      <c r="D12" t="s">
        <v>16</v>
      </c>
      <c r="E12" t="s">
        <v>20</v>
      </c>
      <c r="F12" t="s">
        <v>24</v>
      </c>
      <c r="G12">
        <v>5</v>
      </c>
      <c r="H12">
        <v>18000</v>
      </c>
      <c r="I12">
        <f t="shared" si="0"/>
        <v>90000</v>
      </c>
    </row>
    <row r="13" spans="1:9" x14ac:dyDescent="0.3">
      <c r="A13">
        <v>1012</v>
      </c>
      <c r="B13" s="1">
        <v>46082</v>
      </c>
      <c r="C13" t="s">
        <v>12</v>
      </c>
      <c r="D13" t="s">
        <v>17</v>
      </c>
      <c r="E13" t="s">
        <v>21</v>
      </c>
      <c r="F13" t="s">
        <v>25</v>
      </c>
      <c r="G13">
        <v>6</v>
      </c>
      <c r="H13">
        <v>12000</v>
      </c>
      <c r="I13">
        <f t="shared" si="0"/>
        <v>72000</v>
      </c>
    </row>
    <row r="14" spans="1:9" x14ac:dyDescent="0.3">
      <c r="A14">
        <v>1013</v>
      </c>
      <c r="B14" s="1">
        <v>46082</v>
      </c>
      <c r="C14" t="s">
        <v>9</v>
      </c>
      <c r="D14" t="s">
        <v>16</v>
      </c>
      <c r="E14" t="s">
        <v>18</v>
      </c>
      <c r="F14" t="s">
        <v>22</v>
      </c>
      <c r="G14">
        <v>4</v>
      </c>
      <c r="H14">
        <v>45000</v>
      </c>
      <c r="I14">
        <f t="shared" si="0"/>
        <v>180000</v>
      </c>
    </row>
    <row r="15" spans="1:9" x14ac:dyDescent="0.3">
      <c r="A15">
        <v>1014</v>
      </c>
      <c r="B15" s="1">
        <v>46082</v>
      </c>
      <c r="C15" t="s">
        <v>11</v>
      </c>
      <c r="D15" t="s">
        <v>16</v>
      </c>
      <c r="E15" t="s">
        <v>19</v>
      </c>
      <c r="F15" t="s">
        <v>23</v>
      </c>
      <c r="G15">
        <v>10</v>
      </c>
      <c r="H15">
        <v>32000</v>
      </c>
      <c r="I15">
        <f t="shared" si="0"/>
        <v>320000</v>
      </c>
    </row>
    <row r="16" spans="1:9" x14ac:dyDescent="0.3">
      <c r="A16">
        <v>1015</v>
      </c>
      <c r="B16" s="1">
        <v>46082</v>
      </c>
      <c r="C16" t="s">
        <v>14</v>
      </c>
      <c r="D16" t="s">
        <v>16</v>
      </c>
      <c r="E16" t="s">
        <v>20</v>
      </c>
      <c r="F16" t="s">
        <v>24</v>
      </c>
      <c r="G16">
        <v>20</v>
      </c>
      <c r="H16">
        <v>2500</v>
      </c>
      <c r="I16">
        <f t="shared" si="0"/>
        <v>50000</v>
      </c>
    </row>
    <row r="17" spans="1:9" x14ac:dyDescent="0.3">
      <c r="A17">
        <v>1016</v>
      </c>
      <c r="B17" s="1">
        <v>46113</v>
      </c>
      <c r="C17" t="s">
        <v>15</v>
      </c>
      <c r="D17" t="s">
        <v>16</v>
      </c>
      <c r="E17" t="s">
        <v>21</v>
      </c>
      <c r="F17" t="s">
        <v>25</v>
      </c>
      <c r="G17">
        <v>8</v>
      </c>
      <c r="H17">
        <v>15000</v>
      </c>
      <c r="I17">
        <f t="shared" si="0"/>
        <v>120000</v>
      </c>
    </row>
    <row r="18" spans="1:9" x14ac:dyDescent="0.3">
      <c r="A18">
        <v>1017</v>
      </c>
      <c r="B18" s="1">
        <v>46113</v>
      </c>
      <c r="C18" t="s">
        <v>10</v>
      </c>
      <c r="D18" t="s">
        <v>17</v>
      </c>
      <c r="E18" t="s">
        <v>18</v>
      </c>
      <c r="F18" t="s">
        <v>22</v>
      </c>
      <c r="G18">
        <v>7</v>
      </c>
      <c r="H18">
        <v>8500</v>
      </c>
      <c r="I18">
        <f t="shared" si="0"/>
        <v>59500</v>
      </c>
    </row>
    <row r="19" spans="1:9" x14ac:dyDescent="0.3">
      <c r="A19">
        <v>1018</v>
      </c>
      <c r="B19" s="1">
        <v>46113</v>
      </c>
      <c r="C19" t="s">
        <v>9</v>
      </c>
      <c r="D19" t="s">
        <v>16</v>
      </c>
      <c r="E19" t="s">
        <v>19</v>
      </c>
      <c r="F19" t="s">
        <v>23</v>
      </c>
      <c r="G19">
        <v>6</v>
      </c>
      <c r="H19">
        <v>45000</v>
      </c>
      <c r="I19">
        <f t="shared" si="0"/>
        <v>270000</v>
      </c>
    </row>
    <row r="20" spans="1:9" x14ac:dyDescent="0.3">
      <c r="A20">
        <v>1019</v>
      </c>
      <c r="B20" s="1">
        <v>46113</v>
      </c>
      <c r="C20" t="s">
        <v>13</v>
      </c>
      <c r="D20" t="s">
        <v>16</v>
      </c>
      <c r="E20" t="s">
        <v>20</v>
      </c>
      <c r="F20" t="s">
        <v>24</v>
      </c>
      <c r="G20">
        <v>11</v>
      </c>
      <c r="H20">
        <v>18000</v>
      </c>
      <c r="I20">
        <f t="shared" si="0"/>
        <v>198000</v>
      </c>
    </row>
    <row r="21" spans="1:9" x14ac:dyDescent="0.3">
      <c r="A21">
        <v>1020</v>
      </c>
      <c r="B21" s="1">
        <v>46113</v>
      </c>
      <c r="C21" t="s">
        <v>12</v>
      </c>
      <c r="D21" t="s">
        <v>17</v>
      </c>
      <c r="E21" t="s">
        <v>21</v>
      </c>
      <c r="F21" t="s">
        <v>25</v>
      </c>
      <c r="G21">
        <v>3</v>
      </c>
      <c r="H21">
        <v>12000</v>
      </c>
      <c r="I21">
        <f t="shared" si="0"/>
        <v>36000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0BD02-23C6-4E33-9CD8-012FAB2F8984}">
  <dimension ref="A1:L6"/>
  <sheetViews>
    <sheetView workbookViewId="0">
      <selection activeCell="G1" sqref="G1"/>
    </sheetView>
  </sheetViews>
  <sheetFormatPr defaultRowHeight="14.4" x14ac:dyDescent="0.3"/>
  <cols>
    <col min="1" max="1" width="12.44140625" bestFit="1" customWidth="1"/>
    <col min="2" max="2" width="16.109375" bestFit="1" customWidth="1"/>
    <col min="4" max="4" width="12.44140625" bestFit="1" customWidth="1"/>
    <col min="5" max="5" width="16.109375" bestFit="1" customWidth="1"/>
    <col min="6" max="6" width="12.44140625" bestFit="1" customWidth="1"/>
    <col min="7" max="7" width="16.109375" bestFit="1" customWidth="1"/>
    <col min="11" max="11" width="12.44140625" bestFit="1" customWidth="1"/>
    <col min="12" max="12" width="16.109375" bestFit="1" customWidth="1"/>
  </cols>
  <sheetData>
    <row r="1" spans="1:12" x14ac:dyDescent="0.3">
      <c r="A1" s="2" t="s">
        <v>26</v>
      </c>
      <c r="B1" t="s">
        <v>28</v>
      </c>
      <c r="F1" s="2" t="s">
        <v>26</v>
      </c>
      <c r="G1" t="s">
        <v>28</v>
      </c>
      <c r="K1" s="2" t="s">
        <v>26</v>
      </c>
      <c r="L1" t="s">
        <v>28</v>
      </c>
    </row>
    <row r="2" spans="1:12" x14ac:dyDescent="0.3">
      <c r="A2" s="3" t="s">
        <v>16</v>
      </c>
      <c r="B2" s="4">
        <v>2311000</v>
      </c>
      <c r="F2" s="3" t="s">
        <v>20</v>
      </c>
      <c r="G2" s="4">
        <v>631500</v>
      </c>
      <c r="K2" s="3" t="s">
        <v>24</v>
      </c>
      <c r="L2" s="4">
        <v>631500</v>
      </c>
    </row>
    <row r="3" spans="1:12" x14ac:dyDescent="0.3">
      <c r="A3" s="3" t="s">
        <v>17</v>
      </c>
      <c r="B3" s="4">
        <v>440000</v>
      </c>
      <c r="F3" s="3" t="s">
        <v>18</v>
      </c>
      <c r="G3" s="4">
        <v>707500</v>
      </c>
      <c r="K3" s="3" t="s">
        <v>23</v>
      </c>
      <c r="L3" s="4">
        <v>912000</v>
      </c>
    </row>
    <row r="4" spans="1:12" x14ac:dyDescent="0.3">
      <c r="A4" s="3" t="s">
        <v>27</v>
      </c>
      <c r="B4" s="4">
        <v>2751000</v>
      </c>
      <c r="F4" s="3" t="s">
        <v>19</v>
      </c>
      <c r="G4" s="4">
        <v>912000</v>
      </c>
      <c r="K4" s="3" t="s">
        <v>22</v>
      </c>
      <c r="L4" s="4">
        <v>707500</v>
      </c>
    </row>
    <row r="5" spans="1:12" x14ac:dyDescent="0.3">
      <c r="F5" s="3" t="s">
        <v>21</v>
      </c>
      <c r="G5" s="4">
        <v>500000</v>
      </c>
      <c r="K5" s="3" t="s">
        <v>25</v>
      </c>
      <c r="L5" s="4">
        <v>500000</v>
      </c>
    </row>
    <row r="6" spans="1:12" x14ac:dyDescent="0.3">
      <c r="F6" s="3" t="s">
        <v>27</v>
      </c>
      <c r="G6" s="4">
        <v>2751000</v>
      </c>
      <c r="K6" s="3" t="s">
        <v>27</v>
      </c>
      <c r="L6" s="4">
        <v>2751000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87CFE-6E3E-4889-B422-B936D2CB7BBB}">
  <dimension ref="A1:S3"/>
  <sheetViews>
    <sheetView tabSelected="1" workbookViewId="0">
      <selection activeCell="D2" sqref="D1:D1048576"/>
    </sheetView>
  </sheetViews>
  <sheetFormatPr defaultRowHeight="14.4" x14ac:dyDescent="0.3"/>
  <cols>
    <col min="1" max="1" width="18.33203125" bestFit="1" customWidth="1"/>
    <col min="2" max="2" width="17.5546875" bestFit="1" customWidth="1"/>
    <col min="3" max="3" width="14.21875" bestFit="1" customWidth="1"/>
    <col min="4" max="4" width="21.5546875" bestFit="1" customWidth="1"/>
  </cols>
  <sheetData>
    <row r="1" spans="1:19" ht="23.4" x14ac:dyDescent="0.45">
      <c r="A1" s="6" t="s">
        <v>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 ht="18" x14ac:dyDescent="0.35">
      <c r="A2" s="7" t="s">
        <v>30</v>
      </c>
      <c r="B2" s="7" t="s">
        <v>31</v>
      </c>
      <c r="C2" s="7" t="s">
        <v>33</v>
      </c>
      <c r="D2" s="7" t="s">
        <v>34</v>
      </c>
    </row>
    <row r="3" spans="1:19" ht="18" x14ac:dyDescent="0.35">
      <c r="A3" s="8">
        <v>2751000</v>
      </c>
      <c r="B3" s="7" t="s">
        <v>32</v>
      </c>
      <c r="C3" s="7" t="s">
        <v>19</v>
      </c>
      <c r="D3" s="7" t="s">
        <v>23</v>
      </c>
    </row>
  </sheetData>
  <mergeCells count="1">
    <mergeCell ref="A1:S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 Singh</dc:creator>
  <cp:lastModifiedBy>Aditya Raj Singh</cp:lastModifiedBy>
  <dcterms:created xsi:type="dcterms:W3CDTF">2026-05-08T05:40:31Z</dcterms:created>
  <dcterms:modified xsi:type="dcterms:W3CDTF">2026-05-08T06:44:47Z</dcterms:modified>
</cp:coreProperties>
</file>